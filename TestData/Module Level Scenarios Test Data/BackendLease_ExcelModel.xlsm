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668" codeName="{C74EF38D-198D-F2B1-A963-D0AE11F4D96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BNT FasB Automation\TNBB\TestData\Latest-Valid Data\"/>
    </mc:Choice>
  </mc:AlternateContent>
  <bookViews>
    <workbookView xWindow="0" yWindow="0" windowWidth="16260" windowHeight="5865" tabRatio="914"/>
  </bookViews>
  <sheets>
    <sheet name="LeaseParameters" sheetId="1" r:id="rId1"/>
    <sheet name="Inventory In Lease" sheetId="3" r:id="rId2"/>
    <sheet name=" IDC Details" sheetId="6" r:id="rId3"/>
    <sheet name="BI Details" sheetId="4" r:id="rId4"/>
    <sheet name="BIType1" sheetId="10" r:id="rId5"/>
    <sheet name="BIType2" sheetId="11" r:id="rId6"/>
    <sheet name="BIType3" sheetId="12" r:id="rId7"/>
    <sheet name="BIType4" sheetId="13" r:id="rId8"/>
    <sheet name="Excel Details" sheetId="8" r:id="rId9"/>
    <sheet name="HardCodedValues" sheetId="9" r:id="rId10"/>
  </sheets>
  <externalReferences>
    <externalReference r:id="rId11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D3" i="1" s="1"/>
</calcChain>
</file>

<file path=xl/sharedStrings.xml><?xml version="1.0" encoding="utf-8"?>
<sst xmlns="http://schemas.openxmlformats.org/spreadsheetml/2006/main" count="167" uniqueCount="151">
  <si>
    <t>Customer List</t>
  </si>
  <si>
    <t>Lease Profile</t>
  </si>
  <si>
    <t>Inventory In Lease</t>
  </si>
  <si>
    <t>Lease Investment</t>
  </si>
  <si>
    <t>Lease IDC Setup</t>
  </si>
  <si>
    <t>Lease Structure</t>
  </si>
  <si>
    <t>Lease Classification</t>
  </si>
  <si>
    <t>IDC-Amortize-Automation</t>
  </si>
  <si>
    <t>IDC-Expense-Automation</t>
  </si>
  <si>
    <t>BI-FAS91-Lease Based</t>
  </si>
  <si>
    <t>AssetBased-FAS91</t>
  </si>
  <si>
    <t>AssetBased-NonFAS91</t>
  </si>
  <si>
    <t>LeaseBased-FAS91</t>
  </si>
  <si>
    <t>LeaseBased-NonFAS91</t>
  </si>
  <si>
    <t>LtrToARGLTemplate</t>
  </si>
  <si>
    <t>OTPARGLTemplate</t>
  </si>
  <si>
    <t>ProductType</t>
  </si>
  <si>
    <t>Conditional Sales</t>
  </si>
  <si>
    <t>FASBLeaseBookingConditionalSales</t>
  </si>
  <si>
    <t>FASB-LTR-AR Sales Type</t>
  </si>
  <si>
    <t>OverTerm Payment AR Finance-CS</t>
  </si>
  <si>
    <t>A</t>
  </si>
  <si>
    <t>SlNo</t>
  </si>
  <si>
    <t>AccountNumber</t>
  </si>
  <si>
    <t>Lease_sequenceNumber</t>
  </si>
  <si>
    <t>LeaseAlias</t>
  </si>
  <si>
    <t>OTPLease?</t>
  </si>
  <si>
    <t>LeaseInvoiceGroup</t>
  </si>
  <si>
    <t>AssetCount</t>
  </si>
  <si>
    <t>LeasePrimaryInventoryAlias1</t>
  </si>
  <si>
    <t>LeaseInventoryAlias2</t>
  </si>
  <si>
    <t>LeaseInventoryAlias3</t>
  </si>
  <si>
    <t>LeaseInventoryAlias4</t>
  </si>
  <si>
    <t>ResidualBookedAmount</t>
  </si>
  <si>
    <t>ResidualExpectedAmount</t>
  </si>
  <si>
    <t>CustomerResidualGuaranteeAmount</t>
  </si>
  <si>
    <t>Structure</t>
  </si>
  <si>
    <t>LeaseNumberOfPayments</t>
  </si>
  <si>
    <t>PaymentsDueOnInception</t>
  </si>
  <si>
    <t>LeaseCommencementDate</t>
  </si>
  <si>
    <t>DueDay</t>
  </si>
  <si>
    <t>LeaseRental</t>
  </si>
  <si>
    <t>TotalPaymentOnCommencement</t>
  </si>
  <si>
    <t>LeaseEconomicLife</t>
  </si>
  <si>
    <t>RemainingLife</t>
  </si>
  <si>
    <t>LeaseAccountingTreatment</t>
  </si>
  <si>
    <t>LeaseBookingGLTemplate</t>
  </si>
  <si>
    <t>Direct Finance</t>
  </si>
  <si>
    <t>Sales Type</t>
  </si>
  <si>
    <t>Operating</t>
  </si>
  <si>
    <t>Yes</t>
  </si>
  <si>
    <t>ExpectedResultExcelName</t>
  </si>
  <si>
    <t>ActualResultExcelName</t>
  </si>
  <si>
    <t>Select CustomerYield, PrimeYield, IDCYield from Lease_Yield where LeaseID in (Select LeaseID from Lease_Profile where  SequenceNumber = 'AT-1-204192')</t>
  </si>
  <si>
    <t>Exp</t>
  </si>
  <si>
    <t>Act</t>
  </si>
  <si>
    <t>ExpectedYieldQuery</t>
  </si>
  <si>
    <t>Yield Details</t>
  </si>
  <si>
    <t>ExpectedIncomeScheduleQuery</t>
  </si>
  <si>
    <t>ExpectedIncomeScheduleResultExcelName</t>
  </si>
  <si>
    <t>ActualIncomeScheduleResultExcelName</t>
  </si>
  <si>
    <t>Is Advance/Arrear</t>
  </si>
  <si>
    <t>Is IDC Required ?</t>
  </si>
  <si>
    <t>Number of IDCs</t>
  </si>
  <si>
    <t>IDCTemplate1</t>
  </si>
  <si>
    <t>IDCAmount1</t>
  </si>
  <si>
    <t>Advance</t>
  </si>
  <si>
    <t>Arrears</t>
  </si>
  <si>
    <t>LeaseBookingConditionalSales</t>
  </si>
  <si>
    <t>LeaseBookingConditionalSales-Tax Exempt</t>
  </si>
  <si>
    <t>LeaseBookingDirectFinance</t>
  </si>
  <si>
    <t>LeaseBookingOperating</t>
  </si>
  <si>
    <t>LeaseBookingSalesType</t>
  </si>
  <si>
    <t>LeaseRenewalDirectFinance</t>
  </si>
  <si>
    <t>LeaseRenewalOperating</t>
  </si>
  <si>
    <t>LeaseRenewalConditionalSales</t>
  </si>
  <si>
    <t>fINANCE lEASE</t>
  </si>
  <si>
    <t>LeaseBookingOperating-Test</t>
  </si>
  <si>
    <t>oprating lease template 11</t>
  </si>
  <si>
    <t>FASB-operating new template</t>
  </si>
  <si>
    <t>New Template for FASB Operating</t>
  </si>
  <si>
    <t>FASBNewLeaseConditionalSales</t>
  </si>
  <si>
    <t>FASB OP</t>
  </si>
  <si>
    <t>FASB DF Lease booking</t>
  </si>
  <si>
    <t>FASB- NEW Sales Type Lease Booking</t>
  </si>
  <si>
    <t>FASB- NEW Sales Type Lease Booking - From GL tool</t>
  </si>
  <si>
    <t>LTRtoARFin-CS</t>
  </si>
  <si>
    <t>LTRtoARFin-DFL</t>
  </si>
  <si>
    <t>LTRtoAROp</t>
  </si>
  <si>
    <t>FASB-LTR-AR-Direct Finance</t>
  </si>
  <si>
    <t>FASB-LTR_AR Conditional Sales</t>
  </si>
  <si>
    <t>FASB-LTRtoARFin-CS</t>
  </si>
  <si>
    <t>LR to AR OPRT</t>
  </si>
  <si>
    <t>Lease Booking</t>
  </si>
  <si>
    <t>LTR-AR</t>
  </si>
  <si>
    <t>IDC</t>
  </si>
  <si>
    <t>Accounting TreatmentType</t>
  </si>
  <si>
    <t>BI types</t>
  </si>
  <si>
    <t>OverTerm Payment AR Operating</t>
  </si>
  <si>
    <t>OTP AR NEW</t>
  </si>
  <si>
    <t>OverTerm Payment AR Finance</t>
  </si>
  <si>
    <t>OTP GL Template</t>
  </si>
  <si>
    <t>FMV- Energy Tax Credit</t>
  </si>
  <si>
    <t>First Amendment</t>
  </si>
  <si>
    <t>First Amendment - Modified</t>
  </si>
  <si>
    <t>TRAC</t>
  </si>
  <si>
    <t>TRAC-Split</t>
  </si>
  <si>
    <t>Fixed Purchase Option</t>
  </si>
  <si>
    <t>Lease Intended as Security</t>
  </si>
  <si>
    <t>Synthetic Lease</t>
  </si>
  <si>
    <t>Lease Discounting</t>
  </si>
  <si>
    <t>Other</t>
  </si>
  <si>
    <t>TLFR - Floating Rate TRAC</t>
  </si>
  <si>
    <t>PN - Promissory Note</t>
  </si>
  <si>
    <t>ML - Municipal Lease</t>
  </si>
  <si>
    <t>FP - Floorplanning Lease</t>
  </si>
  <si>
    <t>RENTAL - Monthly Rental</t>
  </si>
  <si>
    <t>Lease Purchase</t>
  </si>
  <si>
    <t>Tax Exempt Lease</t>
  </si>
  <si>
    <t>Product</t>
  </si>
  <si>
    <t>IDCTemplate2</t>
  </si>
  <si>
    <t>IDCAmount2</t>
  </si>
  <si>
    <t>BI Details</t>
  </si>
  <si>
    <t>Is BI Required ?</t>
  </si>
  <si>
    <t>Number of BI Types</t>
  </si>
  <si>
    <t>BI Type1</t>
  </si>
  <si>
    <t>Number of BI Type 1</t>
  </si>
  <si>
    <t>BIType-1 Code-1</t>
  </si>
  <si>
    <t>BIType-1 BlendedName-1</t>
  </si>
  <si>
    <t>BIType-1 BlendedAmount-1</t>
  </si>
  <si>
    <t>Test-01</t>
  </si>
  <si>
    <t>Number of BI Type 2</t>
  </si>
  <si>
    <t>Number of BI Type 3</t>
  </si>
  <si>
    <t>Number of BI Type 4</t>
  </si>
  <si>
    <t>LeaseInventoryAlias5</t>
  </si>
  <si>
    <t>LeaseInventoryAlias6</t>
  </si>
  <si>
    <t>1/1/2017</t>
  </si>
  <si>
    <t>Payment Frequency</t>
  </si>
  <si>
    <t>Frequency</t>
  </si>
  <si>
    <t>Monthly</t>
  </si>
  <si>
    <t>Quarterly</t>
  </si>
  <si>
    <t>Semi-Annually</t>
  </si>
  <si>
    <t>Annually</t>
  </si>
  <si>
    <t>BIType-1 DueDate-1</t>
  </si>
  <si>
    <t>jj invoice group</t>
  </si>
  <si>
    <t>1/1/2019</t>
  </si>
  <si>
    <t>IDCBucket1</t>
  </si>
  <si>
    <t>IDCBucket2</t>
  </si>
  <si>
    <t>Test</t>
  </si>
  <si>
    <t>BIType-1 alias-1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</si>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</sst>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sz val="11"/>
      <color rgb="FFFFFF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Fill="1" applyBorder="1"/>
    <xf numFmtId="0" fontId="0" fillId="0" borderId="0" xfId="0" applyAlignment="1">
      <alignment wrapText="1"/>
    </xf>
    <xf numFmtId="0" fontId="2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vertical="center"/>
    </xf>
    <xf numFmtId="0" fontId="3" fillId="2" borderId="2" xfId="0" applyFont="1" applyFill="1" applyBorder="1"/>
    <xf numFmtId="0" fontId="3" fillId="2" borderId="2" xfId="0" applyFont="1" applyFill="1" applyBorder="1" applyAlignment="1">
      <alignment wrapText="1"/>
    </xf>
    <xf numFmtId="0" fontId="3" fillId="2" borderId="2" xfId="0" applyFont="1" applyFill="1" applyBorder="1" applyAlignment="1"/>
    <xf numFmtId="0" fontId="0" fillId="0" borderId="0" xfId="0" applyAlignment="1"/>
    <xf numFmtId="49" fontId="0" fillId="0" borderId="0" xfId="0" applyNumberFormat="1" applyFill="1" applyBorder="1"/>
    <xf numFmtId="0" fontId="0" fillId="0" borderId="0" xfId="0" applyFill="1"/>
    <xf numFmtId="0" fontId="4" fillId="4" borderId="1" xfId="0" applyFont="1" applyFill="1" applyBorder="1"/>
    <xf numFmtId="0" fontId="0" fillId="0" borderId="1" xfId="0" applyBorder="1"/>
    <xf numFmtId="0" fontId="0" fillId="0" borderId="10" xfId="0" applyBorder="1"/>
    <xf numFmtId="0" fontId="1" fillId="5" borderId="0" xfId="0" applyFont="1" applyFill="1" applyBorder="1" applyAlignment="1"/>
    <xf numFmtId="0" fontId="1" fillId="5" borderId="11" xfId="0" applyFont="1" applyFill="1" applyBorder="1" applyAlignment="1"/>
    <xf numFmtId="0" fontId="5" fillId="2" borderId="0" xfId="0" applyFont="1" applyFill="1"/>
    <xf numFmtId="0" fontId="4" fillId="2" borderId="1" xfId="0" applyFont="1" applyFill="1" applyBorder="1"/>
    <xf numFmtId="49" fontId="5" fillId="2" borderId="0" xfId="0" applyNumberFormat="1" applyFont="1" applyFill="1"/>
    <xf numFmtId="49" fontId="0" fillId="0" borderId="0" xfId="0" applyNumberFormat="1"/>
    <xf numFmtId="0" fontId="6" fillId="2" borderId="2" xfId="0" applyFont="1" applyFill="1" applyBorder="1"/>
    <xf numFmtId="0" fontId="7" fillId="2" borderId="0" xfId="0" applyFont="1" applyFill="1"/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66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BNT%20FasB%20Automation/TNBB/TestData/FrontendLease_Excel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rdCoded Valu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3"/>
  <sheetViews>
    <sheetView tabSelected="1" workbookViewId="0">
      <selection activeCell="A2" sqref="A2"/>
    </sheetView>
  </sheetViews>
  <sheetFormatPr defaultColWidth="22.85546875" defaultRowHeight="15" x14ac:dyDescent="0.25"/>
  <cols>
    <col min="1" max="1" width="9" style="1" customWidth="1"/>
    <col min="2" max="2" width="17" style="3" bestFit="1" customWidth="1"/>
    <col min="3" max="3" width="24.5703125" style="3" bestFit="1" customWidth="1"/>
    <col min="4" max="4" width="21" style="3" bestFit="1" customWidth="1"/>
    <col min="5" max="5" width="14.7109375" style="3" customWidth="1"/>
    <col min="6" max="6" width="19.28515625" style="3" bestFit="1" customWidth="1"/>
    <col min="7" max="7" width="35.28515625" style="3" bestFit="1" customWidth="1"/>
    <col min="8" max="8" width="24.5703125" style="3" bestFit="1" customWidth="1"/>
    <col min="9" max="9" width="21.5703125" style="3" customWidth="1"/>
    <col min="10" max="10" width="17.85546875" style="3" bestFit="1" customWidth="1"/>
    <col min="11" max="11" width="25.5703125" style="3" bestFit="1" customWidth="1"/>
    <col min="12" max="12" width="25.5703125" style="3" customWidth="1"/>
    <col min="13" max="13" width="31.7109375" style="3" bestFit="1" customWidth="1"/>
    <col min="14" max="14" width="19" style="3" bestFit="1" customWidth="1"/>
    <col min="15" max="15" width="19" style="3" customWidth="1"/>
    <col min="16" max="16" width="26.42578125" style="3" bestFit="1" customWidth="1"/>
    <col min="17" max="17" width="33.140625" style="3" bestFit="1" customWidth="1"/>
    <col min="20" max="20" width="26.85546875" bestFit="1" customWidth="1"/>
    <col min="21" max="21" width="33.140625" bestFit="1" customWidth="1"/>
    <col min="22" max="22" width="28.85546875" bestFit="1" customWidth="1"/>
    <col min="23" max="23" width="31.85546875" bestFit="1" customWidth="1"/>
    <col min="42" max="16384" width="22.85546875" style="1"/>
  </cols>
  <sheetData>
    <row r="1" spans="1:41" ht="16.5" thickBot="1" x14ac:dyDescent="0.3">
      <c r="A1" s="5" t="s">
        <v>22</v>
      </c>
      <c r="B1" s="6" t="s">
        <v>0</v>
      </c>
      <c r="C1" s="24" t="s">
        <v>1</v>
      </c>
      <c r="D1" s="25"/>
      <c r="E1" s="25"/>
      <c r="F1" s="26"/>
      <c r="G1" s="24" t="s">
        <v>3</v>
      </c>
      <c r="H1" s="25"/>
      <c r="I1" s="26"/>
      <c r="J1" s="24" t="s">
        <v>5</v>
      </c>
      <c r="K1" s="25"/>
      <c r="L1" s="25"/>
      <c r="M1" s="25"/>
      <c r="N1" s="25"/>
      <c r="O1" s="25"/>
      <c r="P1" s="25"/>
      <c r="Q1" s="26"/>
      <c r="R1" s="24" t="s">
        <v>6</v>
      </c>
      <c r="S1" s="25"/>
      <c r="T1" s="25"/>
      <c r="U1" s="25"/>
      <c r="V1" s="25"/>
      <c r="W1" s="25"/>
      <c r="X1" s="26"/>
      <c r="AF1" s="1"/>
      <c r="AG1" s="1"/>
      <c r="AH1" s="1"/>
      <c r="AI1" s="1"/>
      <c r="AJ1" s="1"/>
      <c r="AK1" s="1"/>
      <c r="AL1" s="1"/>
      <c r="AM1" s="1"/>
      <c r="AN1" s="1"/>
      <c r="AO1" s="1"/>
    </row>
    <row r="2" spans="1:41" s="2" customFormat="1" ht="16.5" thickBot="1" x14ac:dyDescent="0.3">
      <c r="A2" s="7" t="s">
        <v>22</v>
      </c>
      <c r="B2" s="7" t="s">
        <v>23</v>
      </c>
      <c r="C2" s="7" t="s">
        <v>24</v>
      </c>
      <c r="D2" s="7" t="s">
        <v>25</v>
      </c>
      <c r="E2" s="7" t="s">
        <v>26</v>
      </c>
      <c r="F2" s="7" t="s">
        <v>27</v>
      </c>
      <c r="G2" s="7" t="s">
        <v>33</v>
      </c>
      <c r="H2" s="7" t="s">
        <v>34</v>
      </c>
      <c r="I2" s="7" t="s">
        <v>35</v>
      </c>
      <c r="J2" s="7" t="s">
        <v>61</v>
      </c>
      <c r="K2" s="7" t="s">
        <v>37</v>
      </c>
      <c r="L2" s="7" t="s">
        <v>137</v>
      </c>
      <c r="M2" s="7" t="s">
        <v>38</v>
      </c>
      <c r="N2" s="7" t="s">
        <v>39</v>
      </c>
      <c r="O2" s="7" t="s">
        <v>40</v>
      </c>
      <c r="P2" s="7" t="s">
        <v>41</v>
      </c>
      <c r="Q2" s="7" t="s">
        <v>42</v>
      </c>
      <c r="R2" s="7" t="s">
        <v>43</v>
      </c>
      <c r="S2" s="7" t="s">
        <v>44</v>
      </c>
      <c r="T2" s="7" t="s">
        <v>45</v>
      </c>
      <c r="U2" s="7" t="s">
        <v>46</v>
      </c>
      <c r="V2" s="7" t="s">
        <v>14</v>
      </c>
      <c r="W2" s="7" t="s">
        <v>15</v>
      </c>
      <c r="X2" s="7" t="s">
        <v>16</v>
      </c>
      <c r="AF2" s="1"/>
      <c r="AG2" s="1"/>
      <c r="AH2" s="1"/>
    </row>
    <row r="3" spans="1:41" s="3" customFormat="1" x14ac:dyDescent="0.25">
      <c r="A3" s="3">
        <v>1</v>
      </c>
      <c r="B3" s="3">
        <v>1</v>
      </c>
      <c r="C3" s="3" t="str">
        <f>IF(ISBLANK('Inventory In Lease'!B3),"",CONCATENATE("AT-",B3,"-",'Inventory In Lease'!B3))</f>
        <v>AT-1-203865</v>
      </c>
      <c r="D3" s="3" t="str">
        <f>C3</f>
        <v>AT-1-203865</v>
      </c>
      <c r="E3" s="3" t="s">
        <v>50</v>
      </c>
      <c r="F3" s="3" t="s">
        <v>144</v>
      </c>
      <c r="G3" s="3">
        <v>100</v>
      </c>
      <c r="H3" s="3">
        <v>120</v>
      </c>
      <c r="I3" s="3">
        <v>0</v>
      </c>
      <c r="J3" s="3" t="s">
        <v>67</v>
      </c>
      <c r="K3" s="3">
        <v>12</v>
      </c>
      <c r="L3" s="3" t="s">
        <v>139</v>
      </c>
      <c r="M3" s="3">
        <v>0</v>
      </c>
      <c r="N3" s="11" t="s">
        <v>145</v>
      </c>
      <c r="O3" s="11" t="s">
        <v>150</v>
      </c>
      <c r="P3" s="3">
        <v>1000</v>
      </c>
      <c r="Q3" s="3">
        <v>0</v>
      </c>
      <c r="R3" s="3">
        <v>5</v>
      </c>
      <c r="S3" s="3">
        <v>2</v>
      </c>
      <c r="T3" s="3" t="s">
        <v>48</v>
      </c>
      <c r="U3" s="3" t="s">
        <v>84</v>
      </c>
      <c r="V3" s="3" t="s">
        <v>19</v>
      </c>
      <c r="W3" s="3" t="s">
        <v>100</v>
      </c>
      <c r="X3" s="3" t="s">
        <v>102</v>
      </c>
      <c r="Y3" s="12"/>
      <c r="Z3" s="12"/>
      <c r="AA3" s="12"/>
      <c r="AB3" s="12"/>
      <c r="AC3" s="12"/>
      <c r="AD3" s="12"/>
      <c r="AE3" s="12"/>
    </row>
  </sheetData>
  <mergeCells count="4">
    <mergeCell ref="C1:F1"/>
    <mergeCell ref="G1:I1"/>
    <mergeCell ref="J1:Q1"/>
    <mergeCell ref="R1:X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HardCodedValues!$G$3:$G$6</xm:f>
          </x14:formula1>
          <xm:sqref>T3</xm:sqref>
        </x14:dataValidation>
        <x14:dataValidation type="list" allowBlank="1" showInputMessage="1" showErrorMessage="1">
          <x14:formula1>
            <xm:f>HardCodedValues!$I$3:$I$4</xm:f>
          </x14:formula1>
          <xm:sqref>J3</xm:sqref>
        </x14:dataValidation>
        <x14:dataValidation type="list" allowBlank="1" showInputMessage="1" showErrorMessage="1">
          <x14:formula1>
            <xm:f>HardCodedValues!$C$3:$C$21</xm:f>
          </x14:formula1>
          <xm:sqref>U3</xm:sqref>
        </x14:dataValidation>
        <x14:dataValidation type="list" allowBlank="1" showInputMessage="1" showErrorMessage="1">
          <x14:formula1>
            <xm:f>HardCodedValues!$D$3:$D$10</xm:f>
          </x14:formula1>
          <xm:sqref>V3</xm:sqref>
        </x14:dataValidation>
        <x14:dataValidation type="list" allowBlank="1" showInputMessage="1" showErrorMessage="1">
          <x14:formula1>
            <xm:f>HardCodedValues!$E$3:$E$6</xm:f>
          </x14:formula1>
          <xm:sqref>W3</xm:sqref>
        </x14:dataValidation>
        <x14:dataValidation type="list" allowBlank="1" showInputMessage="1" showErrorMessage="1">
          <x14:formula1>
            <xm:f>HardCodedValues!$B$3:$B$20</xm:f>
          </x14:formula1>
          <xm:sqref>X3</xm:sqref>
        </x14:dataValidation>
        <x14:dataValidation type="list" allowBlank="1" showInputMessage="1" showErrorMessage="1">
          <x14:formula1>
            <xm:f>HardCodedValues!$J$3:$J$6</xm:f>
          </x14:formula1>
          <xm:sqref>L3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"/>
  <sheetViews>
    <sheetView workbookViewId="0">
      <selection activeCell="B3" sqref="B3"/>
    </sheetView>
  </sheetViews>
  <sheetFormatPr defaultRowHeight="15" x14ac:dyDescent="0.25"/>
  <cols>
    <col min="1" max="1" width="19.28515625" style="3" customWidth="1"/>
    <col min="2" max="2" width="28.28515625" style="3" customWidth="1"/>
    <col min="3" max="5" width="21.5703125" style="3" customWidth="1"/>
    <col min="6" max="7" width="21" bestFit="1" customWidth="1"/>
  </cols>
  <sheetData>
    <row r="1" spans="1:7" ht="16.5" thickBot="1" x14ac:dyDescent="0.3">
      <c r="A1" s="24" t="s">
        <v>2</v>
      </c>
      <c r="B1" s="25"/>
      <c r="C1" s="25"/>
      <c r="D1" s="25"/>
      <c r="E1" s="26"/>
    </row>
    <row r="2" spans="1:7" ht="16.5" thickBot="1" x14ac:dyDescent="0.3">
      <c r="A2" s="7" t="s">
        <v>28</v>
      </c>
      <c r="B2" s="7" t="s">
        <v>29</v>
      </c>
      <c r="C2" s="7" t="s">
        <v>30</v>
      </c>
      <c r="D2" s="7" t="s">
        <v>31</v>
      </c>
      <c r="E2" s="7" t="s">
        <v>32</v>
      </c>
      <c r="F2" s="7" t="s">
        <v>134</v>
      </c>
      <c r="G2" s="7" t="s">
        <v>135</v>
      </c>
    </row>
    <row r="3" spans="1:7" s="12" customFormat="1" x14ac:dyDescent="0.25">
      <c r="A3" s="3">
        <v>1</v>
      </c>
      <c r="B3" s="3">
        <v>203865</v>
      </c>
      <c r="C3" s="3"/>
      <c r="D3" s="3"/>
      <c r="E3" s="3"/>
      <c r="F3" s="3"/>
      <c r="G3" s="3"/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"/>
  <sheetViews>
    <sheetView workbookViewId="0">
      <selection activeCell="B3" sqref="B3"/>
    </sheetView>
  </sheetViews>
  <sheetFormatPr defaultRowHeight="15" x14ac:dyDescent="0.25"/>
  <cols>
    <col min="1" max="1" width="17" bestFit="1" customWidth="1"/>
    <col min="2" max="2" width="15.7109375" bestFit="1" customWidth="1"/>
    <col min="3" max="3" width="24.5703125" bestFit="1" customWidth="1"/>
    <col min="4" max="4" width="12.5703125" bestFit="1" customWidth="1"/>
    <col min="5" max="5" width="11.7109375" bestFit="1" customWidth="1"/>
    <col min="6" max="6" width="24.5703125" bestFit="1" customWidth="1"/>
    <col min="7" max="7" width="13.5703125" bestFit="1" customWidth="1"/>
    <col min="8" max="8" width="12.140625" bestFit="1" customWidth="1"/>
    <col min="9" max="9" width="11" bestFit="1" customWidth="1"/>
    <col min="10" max="10" width="20.140625" bestFit="1" customWidth="1"/>
  </cols>
  <sheetData>
    <row r="1" spans="1:8" ht="16.5" thickBot="1" x14ac:dyDescent="0.3">
      <c r="A1" s="27" t="s">
        <v>4</v>
      </c>
      <c r="B1" s="27"/>
      <c r="C1" s="27"/>
      <c r="D1" s="28"/>
    </row>
    <row r="2" spans="1:8" s="18" customFormat="1" ht="16.5" thickBot="1" x14ac:dyDescent="0.3">
      <c r="A2" s="7" t="s">
        <v>62</v>
      </c>
      <c r="B2" s="7" t="s">
        <v>63</v>
      </c>
      <c r="C2" s="22" t="s">
        <v>64</v>
      </c>
      <c r="D2" s="7" t="s">
        <v>65</v>
      </c>
      <c r="E2" s="7" t="s">
        <v>146</v>
      </c>
      <c r="F2" s="22" t="s">
        <v>120</v>
      </c>
      <c r="G2" s="23" t="s">
        <v>121</v>
      </c>
      <c r="H2" s="18" t="s">
        <v>147</v>
      </c>
    </row>
    <row r="3" spans="1:8" s="12" customFormat="1" x14ac:dyDescent="0.25">
      <c r="A3" s="3">
        <v>1</v>
      </c>
      <c r="B3" s="3">
        <v>2</v>
      </c>
      <c r="C3" s="3" t="s">
        <v>7</v>
      </c>
      <c r="D3" s="3">
        <v>500</v>
      </c>
      <c r="E3" s="3"/>
      <c r="F3" s="3" t="s">
        <v>7</v>
      </c>
      <c r="G3" s="12">
        <v>400</v>
      </c>
      <c r="H3" s="12" t="s">
        <v>148</v>
      </c>
    </row>
  </sheetData>
  <mergeCells count="1">
    <mergeCell ref="A1:D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HardCodedValues!$F$3:$F$4</xm:f>
          </x14:formula1>
          <xm:sqref>C3 F3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3"/>
  <sheetViews>
    <sheetView workbookViewId="0">
      <selection activeCell="D3" sqref="D3"/>
    </sheetView>
  </sheetViews>
  <sheetFormatPr defaultRowHeight="15" x14ac:dyDescent="0.25"/>
  <cols>
    <col min="1" max="1" width="15.5703125" style="3" bestFit="1" customWidth="1"/>
    <col min="2" max="2" width="19.42578125" style="3" bestFit="1" customWidth="1"/>
    <col min="3" max="3" width="17.5703125" style="3" bestFit="1" customWidth="1"/>
    <col min="4" max="4" width="19.140625" style="3" bestFit="1" customWidth="1"/>
    <col min="5" max="5" width="21" style="3" bestFit="1" customWidth="1"/>
    <col min="6" max="6" width="22.85546875" style="3" bestFit="1" customWidth="1"/>
    <col min="7" max="7" width="16" style="3" bestFit="1" customWidth="1"/>
    <col min="8" max="8" width="18.5703125" style="3" bestFit="1" customWidth="1"/>
    <col min="9" max="9" width="8.42578125" style="3" bestFit="1" customWidth="1"/>
    <col min="10" max="10" width="17.42578125" style="3" bestFit="1" customWidth="1"/>
    <col min="11" max="11" width="13.28515625" style="3" bestFit="1" customWidth="1"/>
    <col min="12" max="12" width="21" style="3" bestFit="1" customWidth="1"/>
    <col min="13" max="13" width="22.85546875" style="3" bestFit="1" customWidth="1"/>
    <col min="14" max="14" width="16" style="3" bestFit="1" customWidth="1"/>
    <col min="15" max="15" width="8.42578125" style="3" bestFit="1" customWidth="1"/>
    <col min="16" max="16" width="17.42578125" style="3" bestFit="1" customWidth="1"/>
    <col min="17" max="17" width="13.28515625" style="3" bestFit="1" customWidth="1"/>
    <col min="18" max="18" width="21" style="3" bestFit="1" customWidth="1"/>
    <col min="19" max="19" width="22.85546875" style="3" bestFit="1" customWidth="1"/>
    <col min="20" max="20" width="16" style="3" bestFit="1" customWidth="1"/>
    <col min="21" max="21" width="8.42578125" style="3" bestFit="1" customWidth="1"/>
    <col min="22" max="22" width="17.42578125" style="3" bestFit="1" customWidth="1"/>
    <col min="23" max="23" width="13.28515625" style="3" bestFit="1" customWidth="1"/>
    <col min="24" max="24" width="21" style="3" bestFit="1" customWidth="1"/>
    <col min="25" max="25" width="22.85546875" style="3"/>
    <col min="26" max="26" width="16" style="3" bestFit="1" customWidth="1"/>
  </cols>
  <sheetData>
    <row r="1" spans="1:26" s="17" customFormat="1" ht="15.75" thickBot="1" x14ac:dyDescent="0.3">
      <c r="A1" s="16" t="s">
        <v>122</v>
      </c>
      <c r="B1" s="16"/>
      <c r="C1" s="16"/>
      <c r="D1" s="16"/>
      <c r="E1" s="16"/>
      <c r="F1" s="16"/>
    </row>
    <row r="2" spans="1:26" s="18" customFormat="1" ht="16.5" thickBot="1" x14ac:dyDescent="0.3">
      <c r="A2" s="7" t="s">
        <v>123</v>
      </c>
      <c r="B2" s="7" t="s">
        <v>124</v>
      </c>
      <c r="C2" s="18" t="s">
        <v>125</v>
      </c>
      <c r="D2" s="18" t="s">
        <v>126</v>
      </c>
    </row>
    <row r="3" spans="1:26" x14ac:dyDescent="0.25">
      <c r="A3" s="3">
        <v>1</v>
      </c>
      <c r="B3" s="3">
        <v>1</v>
      </c>
      <c r="C3" s="3" t="s">
        <v>12</v>
      </c>
      <c r="D3" s="3">
        <v>1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'D:\BBNT FasB Automation\TNBB\TestData\[FrontendLease_ExcelModel.xlsm]HardCoded Values'!#REF!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F3"/>
  <sheetViews>
    <sheetView workbookViewId="0">
      <selection activeCell="F3" sqref="F3"/>
    </sheetView>
  </sheetViews>
  <sheetFormatPr defaultRowHeight="15" x14ac:dyDescent="0.25"/>
  <cols>
    <col min="1" max="1" width="19.140625" bestFit="1" customWidth="1"/>
    <col min="2" max="2" width="20.42578125" bestFit="1" customWidth="1"/>
    <col min="3" max="3" width="24" bestFit="1" customWidth="1"/>
    <col min="4" max="4" width="26" bestFit="1" customWidth="1"/>
    <col min="5" max="5" width="19.7109375" style="21" bestFit="1" customWidth="1"/>
    <col min="6" max="6" width="19.7109375" bestFit="1" customWidth="1"/>
  </cols>
  <sheetData>
    <row r="2" spans="1:6" s="18" customFormat="1" x14ac:dyDescent="0.25">
      <c r="A2" s="18" t="s">
        <v>126</v>
      </c>
      <c r="B2" s="18" t="s">
        <v>127</v>
      </c>
      <c r="C2" s="18" t="s">
        <v>128</v>
      </c>
      <c r="D2" s="18" t="s">
        <v>129</v>
      </c>
      <c r="E2" s="20" t="s">
        <v>143</v>
      </c>
      <c r="F2" s="18" t="s">
        <v>149</v>
      </c>
    </row>
    <row r="3" spans="1:6" x14ac:dyDescent="0.25">
      <c r="A3">
        <v>1</v>
      </c>
      <c r="B3" s="3" t="s">
        <v>9</v>
      </c>
      <c r="C3" s="3" t="s">
        <v>130</v>
      </c>
      <c r="D3" s="3">
        <v>100</v>
      </c>
      <c r="E3" s="11" t="s">
        <v>136</v>
      </c>
      <c r="F3">
        <v>203865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'D:\BBNT FasB Automation\TNBB\TestData\[FrontendLease_ExcelModel.xlsm]HardCoded Values'!#REF!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E3"/>
  <sheetViews>
    <sheetView workbookViewId="0">
      <selection activeCell="A3" sqref="A3"/>
    </sheetView>
  </sheetViews>
  <sheetFormatPr defaultRowHeight="15" x14ac:dyDescent="0.25"/>
  <cols>
    <col min="1" max="1" width="19.140625" bestFit="1" customWidth="1"/>
    <col min="2" max="2" width="15.5703125" bestFit="1" customWidth="1"/>
    <col min="3" max="3" width="24" bestFit="1" customWidth="1"/>
    <col min="4" max="4" width="26" bestFit="1" customWidth="1"/>
    <col min="5" max="5" width="19.7109375" style="21" bestFit="1" customWidth="1"/>
  </cols>
  <sheetData>
    <row r="2" spans="1:5" s="18" customFormat="1" x14ac:dyDescent="0.25">
      <c r="A2" s="18" t="s">
        <v>131</v>
      </c>
      <c r="E2" s="20"/>
    </row>
    <row r="3" spans="1:5" x14ac:dyDescent="0.25">
      <c r="A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3"/>
  <sheetViews>
    <sheetView workbookViewId="0">
      <selection activeCell="A2" sqref="A2"/>
    </sheetView>
  </sheetViews>
  <sheetFormatPr defaultRowHeight="15" x14ac:dyDescent="0.25"/>
  <cols>
    <col min="1" max="1" width="19.140625" bestFit="1" customWidth="1"/>
    <col min="5" max="5" width="9.140625" style="21"/>
  </cols>
  <sheetData>
    <row r="2" spans="1:5" s="18" customFormat="1" x14ac:dyDescent="0.25">
      <c r="A2" s="18" t="s">
        <v>132</v>
      </c>
      <c r="E2" s="20"/>
    </row>
    <row r="3" spans="1:5" x14ac:dyDescent="0.25">
      <c r="A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E3"/>
  <sheetViews>
    <sheetView workbookViewId="0">
      <selection activeCell="A2" sqref="A2"/>
    </sheetView>
  </sheetViews>
  <sheetFormatPr defaultRowHeight="15" x14ac:dyDescent="0.25"/>
  <cols>
    <col min="1" max="1" width="19.140625" bestFit="1" customWidth="1"/>
    <col min="5" max="5" width="9.140625" style="21"/>
  </cols>
  <sheetData>
    <row r="2" spans="1:5" s="18" customFormat="1" x14ac:dyDescent="0.25">
      <c r="A2" s="18" t="s">
        <v>133</v>
      </c>
      <c r="E2" s="20"/>
    </row>
    <row r="3" spans="1:5" x14ac:dyDescent="0.25">
      <c r="A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"/>
  <sheetViews>
    <sheetView workbookViewId="0">
      <selection activeCell="A21" sqref="A21"/>
    </sheetView>
  </sheetViews>
  <sheetFormatPr defaultRowHeight="15" x14ac:dyDescent="0.25"/>
  <cols>
    <col min="1" max="1" width="40.7109375" style="4" customWidth="1"/>
    <col min="2" max="2" width="25" bestFit="1" customWidth="1"/>
    <col min="3" max="3" width="22.42578125" bestFit="1" customWidth="1"/>
    <col min="4" max="4" width="51.7109375" style="4" customWidth="1"/>
    <col min="5" max="5" width="26.140625" bestFit="1" customWidth="1"/>
    <col min="6" max="6" width="39" bestFit="1" customWidth="1"/>
  </cols>
  <sheetData>
    <row r="1" spans="1:6" ht="16.5" thickBot="1" x14ac:dyDescent="0.3">
      <c r="A1" s="29" t="s">
        <v>57</v>
      </c>
      <c r="B1" s="27"/>
      <c r="C1" s="30"/>
      <c r="D1" s="29" t="s">
        <v>57</v>
      </c>
      <c r="E1" s="27"/>
      <c r="F1" s="30"/>
    </row>
    <row r="2" spans="1:6" ht="16.5" thickBot="1" x14ac:dyDescent="0.3">
      <c r="A2" s="8" t="s">
        <v>56</v>
      </c>
      <c r="B2" s="7" t="s">
        <v>51</v>
      </c>
      <c r="C2" s="7" t="s">
        <v>52</v>
      </c>
      <c r="D2" s="9" t="s">
        <v>58</v>
      </c>
      <c r="E2" s="9" t="s">
        <v>59</v>
      </c>
      <c r="F2" s="9" t="s">
        <v>60</v>
      </c>
    </row>
    <row r="3" spans="1:6" ht="60" x14ac:dyDescent="0.25">
      <c r="A3" s="4" t="s">
        <v>53</v>
      </c>
      <c r="B3" t="s">
        <v>54</v>
      </c>
      <c r="C3" t="s">
        <v>55</v>
      </c>
      <c r="D3" s="4" t="s">
        <v>53</v>
      </c>
      <c r="E3" s="10" t="s">
        <v>54</v>
      </c>
      <c r="F3" s="10" t="s">
        <v>55</v>
      </c>
    </row>
  </sheetData>
  <mergeCells count="2">
    <mergeCell ref="A1:C1"/>
    <mergeCell ref="D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J21"/>
  <sheetViews>
    <sheetView topLeftCell="E1" workbookViewId="0">
      <selection activeCell="J2" sqref="J2:J6"/>
    </sheetView>
  </sheetViews>
  <sheetFormatPr defaultRowHeight="15" x14ac:dyDescent="0.25"/>
  <cols>
    <col min="2" max="2" width="26.7109375" bestFit="1" customWidth="1"/>
    <col min="3" max="3" width="47.5703125" bestFit="1" customWidth="1"/>
    <col min="4" max="4" width="28.85546875" bestFit="1" customWidth="1"/>
    <col min="5" max="5" width="31" bestFit="1" customWidth="1"/>
    <col min="6" max="6" width="24.5703125" bestFit="1" customWidth="1"/>
    <col min="7" max="7" width="25.28515625" bestFit="1" customWidth="1"/>
    <col min="8" max="8" width="21.42578125" bestFit="1" customWidth="1"/>
    <col min="10" max="10" width="14.140625" bestFit="1" customWidth="1"/>
  </cols>
  <sheetData>
    <row r="2" spans="2:10" x14ac:dyDescent="0.25">
      <c r="B2" s="13" t="s">
        <v>119</v>
      </c>
      <c r="C2" s="13" t="s">
        <v>93</v>
      </c>
      <c r="D2" s="13" t="s">
        <v>94</v>
      </c>
      <c r="E2" s="13" t="s">
        <v>101</v>
      </c>
      <c r="F2" s="13" t="s">
        <v>95</v>
      </c>
      <c r="G2" s="13" t="s">
        <v>96</v>
      </c>
      <c r="H2" s="13" t="s">
        <v>97</v>
      </c>
      <c r="I2" s="13" t="s">
        <v>36</v>
      </c>
      <c r="J2" s="19" t="s">
        <v>138</v>
      </c>
    </row>
    <row r="3" spans="2:10" x14ac:dyDescent="0.25">
      <c r="B3" s="15" t="s">
        <v>21</v>
      </c>
      <c r="C3" s="14" t="s">
        <v>68</v>
      </c>
      <c r="D3" s="14" t="s">
        <v>86</v>
      </c>
      <c r="E3" s="14" t="s">
        <v>98</v>
      </c>
      <c r="F3" s="15" t="s">
        <v>7</v>
      </c>
      <c r="G3" s="14" t="s">
        <v>49</v>
      </c>
      <c r="H3" s="14" t="s">
        <v>10</v>
      </c>
      <c r="I3" s="14" t="s">
        <v>66</v>
      </c>
      <c r="J3" s="14" t="s">
        <v>139</v>
      </c>
    </row>
    <row r="4" spans="2:10" x14ac:dyDescent="0.25">
      <c r="B4" s="15" t="s">
        <v>102</v>
      </c>
      <c r="C4" s="14" t="s">
        <v>69</v>
      </c>
      <c r="D4" s="14" t="s">
        <v>87</v>
      </c>
      <c r="E4" s="14" t="s">
        <v>99</v>
      </c>
      <c r="F4" s="15" t="s">
        <v>8</v>
      </c>
      <c r="G4" s="14" t="s">
        <v>17</v>
      </c>
      <c r="H4" s="14" t="s">
        <v>11</v>
      </c>
      <c r="I4" s="14" t="s">
        <v>67</v>
      </c>
      <c r="J4" s="14" t="s">
        <v>140</v>
      </c>
    </row>
    <row r="5" spans="2:10" x14ac:dyDescent="0.25">
      <c r="B5" s="15" t="s">
        <v>103</v>
      </c>
      <c r="C5" s="14" t="s">
        <v>70</v>
      </c>
      <c r="D5" s="14" t="s">
        <v>88</v>
      </c>
      <c r="E5" s="14" t="s">
        <v>100</v>
      </c>
      <c r="G5" s="14" t="s">
        <v>47</v>
      </c>
      <c r="H5" s="14" t="s">
        <v>12</v>
      </c>
      <c r="J5" s="14" t="s">
        <v>141</v>
      </c>
    </row>
    <row r="6" spans="2:10" x14ac:dyDescent="0.25">
      <c r="B6" s="15" t="s">
        <v>104</v>
      </c>
      <c r="C6" s="14" t="s">
        <v>71</v>
      </c>
      <c r="D6" s="14" t="s">
        <v>19</v>
      </c>
      <c r="E6" s="14" t="s">
        <v>20</v>
      </c>
      <c r="G6" s="14" t="s">
        <v>48</v>
      </c>
      <c r="H6" s="14" t="s">
        <v>13</v>
      </c>
      <c r="J6" s="14" t="s">
        <v>142</v>
      </c>
    </row>
    <row r="7" spans="2:10" x14ac:dyDescent="0.25">
      <c r="B7" s="15" t="s">
        <v>105</v>
      </c>
      <c r="C7" s="14" t="s">
        <v>72</v>
      </c>
      <c r="D7" s="14" t="s">
        <v>89</v>
      </c>
    </row>
    <row r="8" spans="2:10" x14ac:dyDescent="0.25">
      <c r="B8" s="15" t="s">
        <v>106</v>
      </c>
      <c r="C8" s="14" t="s">
        <v>73</v>
      </c>
      <c r="D8" s="14" t="s">
        <v>90</v>
      </c>
    </row>
    <row r="9" spans="2:10" x14ac:dyDescent="0.25">
      <c r="B9" s="15" t="s">
        <v>107</v>
      </c>
      <c r="C9" s="14" t="s">
        <v>74</v>
      </c>
      <c r="D9" s="14" t="s">
        <v>91</v>
      </c>
    </row>
    <row r="10" spans="2:10" x14ac:dyDescent="0.25">
      <c r="B10" s="15" t="s">
        <v>108</v>
      </c>
      <c r="C10" s="14" t="s">
        <v>75</v>
      </c>
      <c r="D10" s="14" t="s">
        <v>92</v>
      </c>
    </row>
    <row r="11" spans="2:10" x14ac:dyDescent="0.25">
      <c r="B11" s="15" t="s">
        <v>109</v>
      </c>
      <c r="C11" s="14" t="s">
        <v>76</v>
      </c>
    </row>
    <row r="12" spans="2:10" x14ac:dyDescent="0.25">
      <c r="B12" s="15" t="s">
        <v>110</v>
      </c>
      <c r="C12" s="14" t="s">
        <v>77</v>
      </c>
    </row>
    <row r="13" spans="2:10" x14ac:dyDescent="0.25">
      <c r="B13" s="15" t="s">
        <v>111</v>
      </c>
      <c r="C13" s="14" t="s">
        <v>78</v>
      </c>
    </row>
    <row r="14" spans="2:10" x14ac:dyDescent="0.25">
      <c r="B14" s="15" t="s">
        <v>112</v>
      </c>
      <c r="C14" s="14" t="s">
        <v>79</v>
      </c>
    </row>
    <row r="15" spans="2:10" x14ac:dyDescent="0.25">
      <c r="B15" s="15" t="s">
        <v>113</v>
      </c>
      <c r="C15" s="14" t="s">
        <v>80</v>
      </c>
    </row>
    <row r="16" spans="2:10" x14ac:dyDescent="0.25">
      <c r="B16" s="15" t="s">
        <v>114</v>
      </c>
      <c r="C16" s="14" t="s">
        <v>81</v>
      </c>
    </row>
    <row r="17" spans="2:3" x14ac:dyDescent="0.25">
      <c r="B17" s="15" t="s">
        <v>115</v>
      </c>
      <c r="C17" s="14" t="s">
        <v>18</v>
      </c>
    </row>
    <row r="18" spans="2:3" x14ac:dyDescent="0.25">
      <c r="B18" s="15" t="s">
        <v>116</v>
      </c>
      <c r="C18" s="14" t="s">
        <v>82</v>
      </c>
    </row>
    <row r="19" spans="2:3" x14ac:dyDescent="0.25">
      <c r="B19" s="15" t="s">
        <v>117</v>
      </c>
      <c r="C19" s="14" t="s">
        <v>83</v>
      </c>
    </row>
    <row r="20" spans="2:3" x14ac:dyDescent="0.25">
      <c r="B20" s="15" t="s">
        <v>118</v>
      </c>
      <c r="C20" s="14" t="s">
        <v>84</v>
      </c>
    </row>
    <row r="21" spans="2:3" x14ac:dyDescent="0.25">
      <c r="C21" s="14" t="s">
        <v>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LeaseParameters</vt:lpstr>
      <vt:lpstr>Inventory In Lease</vt:lpstr>
      <vt:lpstr> IDC Details</vt:lpstr>
      <vt:lpstr>BI Details</vt:lpstr>
      <vt:lpstr>BIType1</vt:lpstr>
      <vt:lpstr>BIType2</vt:lpstr>
      <vt:lpstr>BIType3</vt:lpstr>
      <vt:lpstr>BIType4</vt:lpstr>
      <vt:lpstr>Excel Details</vt:lpstr>
      <vt:lpstr>HardCodedValues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Nirush S</dc:creator>
  <cp:lastModifiedBy>Nirush S</cp:lastModifiedBy>
  <dcterms:created xsi:type="dcterms:W3CDTF">2018-02-07T05:56:58Z</dcterms:created>
  <dcterms:modified xsi:type="dcterms:W3CDTF">2018-04-10T11:13:31Z</dcterms:modified>
</cp:coreProperties>
</file>